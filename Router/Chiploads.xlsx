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umail2-my.sharepoint.com/personal/cfree3_lsu_edu/Documents/Lab/Machines + Software/CNC Router/"/>
    </mc:Choice>
  </mc:AlternateContent>
  <xr:revisionPtr revIDLastSave="58" documentId="11_974D783F81775FA12F44E5D635731256B2D20357" xr6:coauthVersionLast="47" xr6:coauthVersionMax="47" xr10:uidLastSave="{5CAED13A-BACF-491B-8047-4191CAAABD6E}"/>
  <bookViews>
    <workbookView xWindow="25695" yWindow="0" windowWidth="26010" windowHeight="20985" activeTab="1" xr2:uid="{00000000-000D-0000-FFFF-FFFF00000000}"/>
  </bookViews>
  <sheets>
    <sheet name="Loads" sheetId="1" r:id="rId1"/>
    <sheet name="Bore" sheetId="3" r:id="rId2"/>
  </sheets>
  <definedNames>
    <definedName name="_xlnm.Print_Area" localSheetId="1">Bore!$A$1:$E$50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B16" i="3" s="1"/>
  <c r="B22" i="3"/>
  <c r="B13" i="3" s="1"/>
  <c r="Z4" i="3"/>
  <c r="Z3" i="3"/>
  <c r="Z2" i="3"/>
  <c r="Z1" i="3"/>
  <c r="B26" i="3"/>
  <c r="B23" i="3"/>
  <c r="B24" i="3" s="1"/>
  <c r="B17" i="3"/>
  <c r="Z5" i="3"/>
  <c r="J3" i="1"/>
  <c r="J4" i="1" s="1"/>
  <c r="B27" i="3" l="1"/>
  <c r="B33" i="3"/>
  <c r="B34" i="3" s="1"/>
  <c r="Z8" i="3"/>
  <c r="Z9" i="3" l="1"/>
  <c r="Z6" i="3" s="1"/>
  <c r="B15" i="3" s="1"/>
  <c r="B28" i="3"/>
  <c r="B29" i="3" l="1"/>
  <c r="Z7" i="3" s="1"/>
  <c r="B14" i="3" s="1"/>
  <c r="B30" i="3"/>
  <c r="B31" i="3" l="1"/>
  <c r="B32" i="3"/>
</calcChain>
</file>

<file path=xl/sharedStrings.xml><?xml version="1.0" encoding="utf-8"?>
<sst xmlns="http://schemas.openxmlformats.org/spreadsheetml/2006/main" count="79" uniqueCount="64">
  <si>
    <t>Bore toolpaths</t>
  </si>
  <si>
    <t>Rules</t>
  </si>
  <si>
    <t>Setting</t>
  </si>
  <si>
    <t>Value</t>
  </si>
  <si>
    <t>Sideways cap (in/min)</t>
  </si>
  <si>
    <t>Vertical cap (in/min)</t>
  </si>
  <si>
    <t>Max spindle (rpm)</t>
  </si>
  <si>
    <t>Material</t>
  </si>
  <si>
    <t>MDF</t>
  </si>
  <si>
    <t>Tool diameter (in)</t>
  </si>
  <si>
    <t>Hole diameter (in)</t>
  </si>
  <si>
    <t>Flutes</t>
  </si>
  <si>
    <t>Ramp angle (deg)</t>
  </si>
  <si>
    <t>Thickness (in)</t>
  </si>
  <si>
    <t>Result</t>
  </si>
  <si>
    <t>Spindle (rpm)</t>
  </si>
  <si>
    <t>Bottom of the hole</t>
  </si>
  <si>
    <t>0.02 in past the sheet</t>
  </si>
  <si>
    <t>How these numbers were made</t>
  </si>
  <si>
    <t>General chipload</t>
  </si>
  <si>
    <t>Bore factor</t>
  </si>
  <si>
    <t>Wall chipload</t>
  </si>
  <si>
    <t>Arc ratio</t>
  </si>
  <si>
    <t>Centerline radius (in)</t>
  </si>
  <si>
    <t>Center chipload</t>
  </si>
  <si>
    <t>Sideways speed (in/min)</t>
  </si>
  <si>
    <t>Vertical speed (in/min)</t>
  </si>
  <si>
    <t>Actual wall chip</t>
  </si>
  <si>
    <t>Surface speed (ft/min)</t>
  </si>
  <si>
    <t>Pitch (in/rev)</t>
  </si>
  <si>
    <t>Turns through the thickness</t>
  </si>
  <si>
    <t>General Chiploads</t>
  </si>
  <si>
    <t>Tool</t>
  </si>
  <si>
    <t>Chipload</t>
  </si>
  <si>
    <t>Reduction</t>
  </si>
  <si>
    <t>Total</t>
  </si>
  <si>
    <t>Hardwood</t>
  </si>
  <si>
    <t>Compression</t>
  </si>
  <si>
    <t>Plywood</t>
  </si>
  <si>
    <t>DC</t>
  </si>
  <si>
    <t>Foam</t>
  </si>
  <si>
    <t>Acrylic</t>
  </si>
  <si>
    <t>HDPE</t>
  </si>
  <si>
    <t>Adaptive - Optimal Loads</t>
  </si>
  <si>
    <t>Long Flute Reduction Table</t>
  </si>
  <si>
    <t>Flute Length/Diameter Ratio</t>
  </si>
  <si>
    <t>Chipload Reduction</t>
  </si>
  <si>
    <t>2 to 1</t>
  </si>
  <si>
    <t>3 to 1</t>
  </si>
  <si>
    <t>4 to 1</t>
  </si>
  <si>
    <t>5 to 1 and above</t>
  </si>
  <si>
    <t>Notes</t>
  </si>
  <si>
    <t>In Fusion just put the default values and adjust per toolpath. For finishing cuts reduce feedrate by about 30%. For a Bore, use the Bore sheet: type its spindle and feed, and leave Feed per Tooth alone.</t>
  </si>
  <si>
    <t>Type into Fusion</t>
  </si>
  <si>
    <t>Feed for cutting, leads, ramp, and plunge</t>
  </si>
  <si>
    <t>Tool / hole</t>
  </si>
  <si>
    <t>Machine limits</t>
  </si>
  <si>
    <t>Smooth acceleration (in/sec2)</t>
  </si>
  <si>
    <t>Straight-cut cap (in/min)</t>
  </si>
  <si>
    <t>Chipload override</t>
  </si>
  <si>
    <t>1. Use the chipload from the Loads sheet. This sheet looks it up from the material and the tool diameter.</t>
  </si>
  <si>
    <t>2. Type the spindle and the feed into Fusion. Leave Fusion's chipload box alone.</t>
  </si>
  <si>
    <t>3. Use a ramp of 15 to 22.5 degrees. Count the flutes. A through hole wants an upcut. Put the feed on every feed field, and set the bottom 0.02 in past the sheet.</t>
  </si>
  <si>
    <t>4. A bigger hole gets a faster feed, up to the machine limit. The spindle drops so the chip stays the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</si>
</sst>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0"/>
    <numFmt numFmtId="165" formatCode="0.0"/>
    <numFmt numFmtId="166" formatCode="0.000"/>
  </numFmts>
  <fonts count="7">
    <font>
      <sz val="11"/>
      <color theme="1"/>
      <name val="Proxima nova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sz val="11"/>
      <color theme="1"/>
      <name val="Proxima nova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5" fillId="0" borderId="0"/>
    <xf numFmtId="9" fontId="5" fillId="0" borderId="0"/>
    <xf numFmtId="0" fontId="1" fillId="0" borderId="0"/>
  </cellStyleXfs>
  <cellXfs count="64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12" fontId="2" fillId="4" borderId="1" xfId="0" applyNumberFormat="1" applyFont="1" applyFill="1" applyBorder="1"/>
    <xf numFmtId="164" fontId="3" fillId="0" borderId="2" xfId="0" applyNumberFormat="1" applyFont="1" applyBorder="1"/>
    <xf numFmtId="0" fontId="3" fillId="0" borderId="0" xfId="0" applyFont="1"/>
    <xf numFmtId="0" fontId="3" fillId="0" borderId="6" xfId="0" applyFont="1" applyBorder="1"/>
    <xf numFmtId="164" fontId="3" fillId="0" borderId="0" xfId="0" applyNumberFormat="1" applyFont="1"/>
    <xf numFmtId="164" fontId="3" fillId="0" borderId="5" xfId="0" applyNumberFormat="1" applyFont="1" applyBorder="1"/>
    <xf numFmtId="0" fontId="3" fillId="0" borderId="7" xfId="0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0" fontId="4" fillId="0" borderId="0" xfId="0" applyFont="1" applyAlignment="1">
      <alignment horizontal="center" vertical="center" wrapText="1"/>
    </xf>
    <xf numFmtId="0" fontId="3" fillId="5" borderId="1" xfId="0" applyFont="1" applyFill="1" applyBorder="1"/>
    <xf numFmtId="9" fontId="3" fillId="5" borderId="1" xfId="0" applyNumberFormat="1" applyFont="1" applyFill="1" applyBorder="1"/>
    <xf numFmtId="0" fontId="3" fillId="0" borderId="1" xfId="0" applyFont="1" applyBorder="1"/>
    <xf numFmtId="9" fontId="3" fillId="0" borderId="1" xfId="0" applyNumberFormat="1" applyFont="1" applyBorder="1"/>
    <xf numFmtId="164" fontId="3" fillId="0" borderId="8" xfId="0" applyNumberFormat="1" applyFont="1" applyBorder="1"/>
    <xf numFmtId="0" fontId="0" fillId="0" borderId="9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vertical="top" wrapText="1"/>
    </xf>
    <xf numFmtId="0" fontId="6" fillId="0" borderId="0" xfId="0" applyFont="1"/>
    <xf numFmtId="0" fontId="1" fillId="0" borderId="0" xfId="3"/>
    <xf numFmtId="0" fontId="2" fillId="3" borderId="1" xfId="3" applyFon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left" vertical="center" wrapText="1"/>
    </xf>
    <xf numFmtId="49" fontId="3" fillId="0" borderId="1" xfId="3" applyNumberFormat="1" applyFont="1" applyBorder="1" applyAlignment="1">
      <alignment horizontal="center" vertical="center" wrapText="1"/>
    </xf>
    <xf numFmtId="2" fontId="3" fillId="0" borderId="1" xfId="3" applyNumberFormat="1" applyFont="1" applyBorder="1" applyAlignment="1">
      <alignment horizontal="center" vertical="center" wrapText="1"/>
    </xf>
    <xf numFmtId="166" fontId="3" fillId="0" borderId="1" xfId="3" applyNumberFormat="1" applyFont="1" applyBorder="1" applyAlignment="1">
      <alignment horizontal="center" vertical="center" wrapText="1"/>
    </xf>
    <xf numFmtId="1" fontId="3" fillId="0" borderId="1" xfId="3" applyNumberFormat="1" applyFont="1" applyBorder="1" applyAlignment="1">
      <alignment horizontal="center" vertical="center" wrapText="1"/>
    </xf>
    <xf numFmtId="165" fontId="3" fillId="0" borderId="1" xfId="3" applyNumberFormat="1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3" fontId="3" fillId="0" borderId="1" xfId="3" applyNumberFormat="1" applyFont="1" applyBorder="1" applyAlignment="1">
      <alignment horizontal="center" vertical="center" wrapText="1"/>
    </xf>
    <xf numFmtId="0" fontId="3" fillId="0" borderId="0" xfId="3" applyFont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/>
    <xf numFmtId="0" fontId="3" fillId="0" borderId="0" xfId="0" applyFont="1"/>
    <xf numFmtId="9" fontId="0" fillId="0" borderId="5" xfId="2" applyFont="1" applyBorder="1" applyAlignment="1">
      <alignment horizontal="center"/>
    </xf>
    <xf numFmtId="0" fontId="0" fillId="0" borderId="5" xfId="0" applyBorder="1"/>
    <xf numFmtId="0" fontId="2" fillId="2" borderId="1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12" fontId="0" fillId="0" borderId="6" xfId="0" applyNumberFormat="1" applyBorder="1" applyAlignment="1">
      <alignment horizontal="center"/>
    </xf>
    <xf numFmtId="12" fontId="0" fillId="0" borderId="7" xfId="1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2" fontId="0" fillId="0" borderId="9" xfId="0" applyNumberFormat="1" applyBorder="1" applyAlignment="1">
      <alignment horizontal="center"/>
    </xf>
    <xf numFmtId="0" fontId="0" fillId="0" borderId="10" xfId="0" applyBorder="1"/>
    <xf numFmtId="9" fontId="0" fillId="0" borderId="10" xfId="2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0" fillId="0" borderId="4" xfId="2" applyFont="1" applyBorder="1" applyAlignment="1">
      <alignment horizontal="center"/>
    </xf>
    <xf numFmtId="12" fontId="2" fillId="4" borderId="1" xfId="0" applyNumberFormat="1" applyFont="1" applyFill="1" applyBorder="1" applyAlignment="1">
      <alignment horizontal="center"/>
    </xf>
    <xf numFmtId="0" fontId="3" fillId="0" borderId="8" xfId="3" applyFont="1" applyBorder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3" fillId="0" borderId="2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1" fillId="0" borderId="0" xfId="3"/>
  </cellXfs>
  <cellStyles count="4">
    <cellStyle name="Currency" xfId="1" builtinId="4"/>
    <cellStyle name="Normal" xfId="0" builtinId="0"/>
    <cellStyle name="Normal 2" xfId="3" xr:uid="{3FDF75C6-8A23-48E4-B085-B1D1AB90CB9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zoomScale="130" zoomScaleNormal="130" workbookViewId="0">
      <selection activeCell="D5" sqref="D5"/>
    </sheetView>
  </sheetViews>
  <sheetFormatPr defaultColWidth="9" defaultRowHeight="14.25"/>
  <cols>
    <col min="1" max="1" width="9.25" style="5" bestFit="1" customWidth="1"/>
    <col min="2" max="2" width="11.25" style="5" customWidth="1"/>
    <col min="3" max="5" width="11" style="5" bestFit="1" customWidth="1"/>
    <col min="6" max="6" width="11.875" style="5" bestFit="1" customWidth="1"/>
    <col min="7" max="7" width="17.125" style="5" customWidth="1"/>
    <col min="8" max="8" width="7.375" style="5" customWidth="1"/>
    <col min="9" max="10" width="9" style="5" customWidth="1"/>
    <col min="11" max="11" width="13.125" style="5" customWidth="1"/>
    <col min="12" max="13" width="9" style="5" customWidth="1"/>
    <col min="14" max="16384" width="9" style="5"/>
  </cols>
  <sheetData>
    <row r="1" spans="1:11" s="1" customFormat="1" ht="18" customHeight="1">
      <c r="A1" s="45" t="s">
        <v>31</v>
      </c>
      <c r="B1" s="46"/>
      <c r="C1" s="46"/>
      <c r="D1" s="46"/>
      <c r="E1" s="47"/>
      <c r="G1" s="5"/>
    </row>
    <row r="2" spans="1:11" s="1" customFormat="1" ht="18" customHeight="1">
      <c r="A2" s="2" t="s">
        <v>7</v>
      </c>
      <c r="B2" s="3">
        <v>0.125</v>
      </c>
      <c r="C2" s="3">
        <v>0.25</v>
      </c>
      <c r="D2" s="3">
        <v>0.375</v>
      </c>
      <c r="E2" s="3">
        <v>0.5</v>
      </c>
      <c r="G2" s="13" t="s">
        <v>32</v>
      </c>
      <c r="H2" s="13" t="s">
        <v>33</v>
      </c>
      <c r="I2" s="13" t="s">
        <v>34</v>
      </c>
      <c r="J2" s="14" t="s">
        <v>35</v>
      </c>
    </row>
    <row r="3" spans="1:11">
      <c r="A3" s="6" t="s">
        <v>36</v>
      </c>
      <c r="B3" s="7">
        <v>3.0000000000000001E-3</v>
      </c>
      <c r="C3" s="7">
        <v>8.9999999999999993E-3</v>
      </c>
      <c r="D3" s="4">
        <v>1.4999999999999999E-2</v>
      </c>
      <c r="E3" s="8">
        <v>1.9E-2</v>
      </c>
      <c r="G3" s="15" t="s">
        <v>37</v>
      </c>
      <c r="H3" s="7">
        <v>1.4500000000000001E-2</v>
      </c>
      <c r="I3" s="16">
        <v>0.15</v>
      </c>
      <c r="J3" s="15">
        <f>SUM(H3*(1-I3))</f>
        <v>1.2325000000000001E-2</v>
      </c>
    </row>
    <row r="4" spans="1:11">
      <c r="A4" s="6" t="s">
        <v>38</v>
      </c>
      <c r="B4" s="17">
        <v>4.0000000000000001E-3</v>
      </c>
      <c r="C4" s="7">
        <v>1.2E-2</v>
      </c>
      <c r="D4" s="7">
        <v>1.7999999999999999E-2</v>
      </c>
      <c r="E4" s="8">
        <v>2.1999999999999999E-2</v>
      </c>
      <c r="G4" s="15" t="s">
        <v>39</v>
      </c>
      <c r="H4" s="15"/>
      <c r="I4" s="16">
        <v>0.15</v>
      </c>
      <c r="J4" s="15">
        <f>SUM(J3*(1-I4))</f>
        <v>1.0476250000000001E-2</v>
      </c>
    </row>
    <row r="5" spans="1:11">
      <c r="A5" s="6" t="s">
        <v>8</v>
      </c>
      <c r="B5" s="7">
        <v>4.0000000000000001E-3</v>
      </c>
      <c r="C5" s="7">
        <v>1.4500000000000001E-2</v>
      </c>
      <c r="D5" s="7">
        <v>0.02</v>
      </c>
      <c r="E5" s="8">
        <v>2.5000000000000001E-2</v>
      </c>
    </row>
    <row r="6" spans="1:11">
      <c r="A6" s="6" t="s">
        <v>40</v>
      </c>
      <c r="B6" s="7">
        <v>8.0000000000000002E-3</v>
      </c>
      <c r="C6" s="7">
        <v>1.2E-2</v>
      </c>
      <c r="D6" s="7">
        <v>2.5000000000000001E-2</v>
      </c>
      <c r="E6" s="8">
        <v>2.5000000000000001E-2</v>
      </c>
    </row>
    <row r="7" spans="1:11">
      <c r="A7" s="6" t="s">
        <v>41</v>
      </c>
      <c r="B7" s="7">
        <v>2E-3</v>
      </c>
      <c r="C7" s="7">
        <v>7.4999999999999997E-3</v>
      </c>
      <c r="D7" s="7">
        <v>0.01</v>
      </c>
      <c r="E7" s="8">
        <v>0.01</v>
      </c>
    </row>
    <row r="8" spans="1:11">
      <c r="A8" s="9" t="s">
        <v>42</v>
      </c>
      <c r="B8" s="10">
        <v>3.0000000000000001E-3</v>
      </c>
      <c r="C8" s="10">
        <v>8.0000000000000002E-3</v>
      </c>
      <c r="D8" s="10">
        <v>8.0000000000000002E-3</v>
      </c>
      <c r="E8" s="11">
        <v>1.4E-2</v>
      </c>
      <c r="G8" s="12"/>
    </row>
    <row r="10" spans="1:11">
      <c r="A10" s="26"/>
      <c r="B10" s="26"/>
      <c r="C10" s="26"/>
      <c r="D10" s="26"/>
      <c r="E10" s="26"/>
      <c r="F10" s="26"/>
      <c r="G10" s="26"/>
      <c r="H10" s="26"/>
      <c r="I10" s="26"/>
    </row>
    <row r="12" spans="1:11">
      <c r="A12" s="27"/>
      <c r="B12" s="27"/>
      <c r="C12" s="27"/>
      <c r="D12" s="27"/>
      <c r="E12" s="27"/>
    </row>
    <row r="15" spans="1:11" ht="18" customHeight="1">
      <c r="A15" s="45" t="s">
        <v>43</v>
      </c>
      <c r="B15" s="46"/>
      <c r="C15" s="46"/>
      <c r="D15" s="46"/>
      <c r="E15" s="47"/>
      <c r="G15" s="45" t="s">
        <v>44</v>
      </c>
      <c r="H15" s="46"/>
      <c r="I15" s="46"/>
      <c r="J15" s="46"/>
      <c r="K15" s="47"/>
    </row>
    <row r="16" spans="1:11" ht="18" customHeight="1">
      <c r="A16" s="2" t="s">
        <v>7</v>
      </c>
      <c r="B16" s="3">
        <v>0.125</v>
      </c>
      <c r="C16" s="3">
        <v>0.25</v>
      </c>
      <c r="D16" s="3">
        <v>0.375</v>
      </c>
      <c r="E16" s="3">
        <v>0.5</v>
      </c>
      <c r="G16" s="55" t="s">
        <v>45</v>
      </c>
      <c r="H16" s="46"/>
      <c r="I16" s="47"/>
      <c r="J16" s="57" t="s">
        <v>46</v>
      </c>
      <c r="K16" s="47"/>
    </row>
    <row r="17" spans="1:11">
      <c r="A17" s="18" t="s">
        <v>36</v>
      </c>
      <c r="B17" s="21">
        <v>7.4999999999999997E-3</v>
      </c>
      <c r="C17" s="21">
        <v>1.4999999999999999E-2</v>
      </c>
      <c r="D17" s="21">
        <v>2.2499999999999999E-2</v>
      </c>
      <c r="E17" s="22">
        <v>0.03</v>
      </c>
      <c r="G17" s="52" t="s">
        <v>47</v>
      </c>
      <c r="H17" s="41"/>
      <c r="I17" s="53"/>
      <c r="J17" s="54">
        <v>0</v>
      </c>
      <c r="K17" s="53"/>
    </row>
    <row r="18" spans="1:11">
      <c r="A18" s="19" t="s">
        <v>38</v>
      </c>
      <c r="B18">
        <v>0.01</v>
      </c>
      <c r="C18">
        <v>0.02</v>
      </c>
      <c r="D18">
        <v>0.03</v>
      </c>
      <c r="E18" s="23">
        <v>0.04</v>
      </c>
      <c r="G18" s="48" t="s">
        <v>48</v>
      </c>
      <c r="H18" s="42"/>
      <c r="I18" s="44"/>
      <c r="J18" s="43">
        <v>0.15</v>
      </c>
      <c r="K18" s="44"/>
    </row>
    <row r="19" spans="1:11">
      <c r="A19" s="19" t="s">
        <v>8</v>
      </c>
      <c r="B19">
        <v>0.01</v>
      </c>
      <c r="C19">
        <v>0.02</v>
      </c>
      <c r="D19">
        <v>0.03</v>
      </c>
      <c r="E19" s="23">
        <v>0.04</v>
      </c>
      <c r="G19" s="48" t="s">
        <v>49</v>
      </c>
      <c r="H19" s="42"/>
      <c r="I19" s="44"/>
      <c r="J19" s="43">
        <v>0.2</v>
      </c>
      <c r="K19" s="44"/>
    </row>
    <row r="20" spans="1:11">
      <c r="A20" s="20" t="s">
        <v>40</v>
      </c>
      <c r="B20" s="24">
        <v>1.4999999999999999E-2</v>
      </c>
      <c r="C20" s="24">
        <v>0.03</v>
      </c>
      <c r="D20" s="24">
        <v>4.4999999999999998E-2</v>
      </c>
      <c r="E20" s="25">
        <v>0.06</v>
      </c>
      <c r="G20" s="49" t="s">
        <v>50</v>
      </c>
      <c r="H20" s="50"/>
      <c r="I20" s="51"/>
      <c r="J20" s="56">
        <v>0.25</v>
      </c>
      <c r="K20" s="51"/>
    </row>
    <row r="24" spans="1:11" ht="18" customHeight="1">
      <c r="A24" s="45" t="s">
        <v>51</v>
      </c>
      <c r="B24" s="46"/>
      <c r="C24" s="46"/>
      <c r="D24" s="46"/>
      <c r="E24" s="47"/>
    </row>
    <row r="25" spans="1:11">
      <c r="A25" s="40" t="s">
        <v>52</v>
      </c>
      <c r="B25" s="41"/>
      <c r="C25" s="41"/>
      <c r="D25" s="41"/>
      <c r="E25" s="41"/>
    </row>
    <row r="26" spans="1:11">
      <c r="A26" s="42"/>
      <c r="B26" s="42"/>
      <c r="C26" s="42"/>
      <c r="D26" s="42"/>
      <c r="E26" s="42"/>
    </row>
    <row r="27" spans="1:11">
      <c r="A27" s="42"/>
      <c r="B27" s="42"/>
      <c r="C27" s="42"/>
      <c r="D27" s="42"/>
      <c r="E27" s="42"/>
    </row>
    <row r="28" spans="1:11">
      <c r="A28" s="42"/>
      <c r="B28" s="42"/>
      <c r="C28" s="42"/>
      <c r="D28" s="42"/>
      <c r="E28" s="42"/>
    </row>
    <row r="29" spans="1:11">
      <c r="A29" s="42"/>
      <c r="B29" s="42"/>
      <c r="C29" s="42"/>
      <c r="D29" s="42"/>
      <c r="E29" s="42"/>
    </row>
    <row r="30" spans="1:11">
      <c r="A30" s="42"/>
      <c r="B30" s="42"/>
      <c r="C30" s="42"/>
      <c r="D30" s="42"/>
      <c r="E30" s="42"/>
    </row>
    <row r="31" spans="1:11">
      <c r="A31" s="42"/>
      <c r="B31" s="42"/>
      <c r="C31" s="42"/>
      <c r="D31" s="42"/>
      <c r="E31" s="42"/>
    </row>
    <row r="32" spans="1:11">
      <c r="A32" s="42"/>
      <c r="B32" s="42"/>
      <c r="C32" s="42"/>
      <c r="D32" s="42"/>
      <c r="E32" s="42"/>
    </row>
  </sheetData>
  <mergeCells count="15">
    <mergeCell ref="A25:E32"/>
    <mergeCell ref="J18:K18"/>
    <mergeCell ref="J19:K19"/>
    <mergeCell ref="A1:E1"/>
    <mergeCell ref="G18:I18"/>
    <mergeCell ref="G20:I20"/>
    <mergeCell ref="G17:I17"/>
    <mergeCell ref="J17:K17"/>
    <mergeCell ref="G16:I16"/>
    <mergeCell ref="J20:K20"/>
    <mergeCell ref="A24:E24"/>
    <mergeCell ref="G15:K15"/>
    <mergeCell ref="G19:I19"/>
    <mergeCell ref="A15:E15"/>
    <mergeCell ref="J16:K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B1EF-8686-4B34-8440-9DACE52835FE}">
  <sheetPr>
    <pageSetUpPr fitToPage="1"/>
  </sheetPr>
  <dimension ref="A1:Z50"/>
  <sheetViews>
    <sheetView tabSelected="1" zoomScale="130" workbookViewId="0">
      <selection activeCell="C7" sqref="C7"/>
    </sheetView>
  </sheetViews>
  <sheetFormatPr defaultRowHeight="15"/>
  <cols>
    <col min="1" max="1" width="45.5" style="28" customWidth="1"/>
    <col min="2" max="2" width="7.125" style="28" bestFit="1" customWidth="1"/>
    <col min="3" max="3" width="14.625" style="28" customWidth="1"/>
    <col min="4" max="4" width="24.5" style="28" customWidth="1"/>
    <col min="5" max="5" width="19.25" style="28" customWidth="1"/>
    <col min="6" max="25" width="9" style="28"/>
    <col min="26" max="26" width="11.375" style="28" hidden="1" customWidth="1"/>
    <col min="27" max="16384" width="9" style="28"/>
  </cols>
  <sheetData>
    <row r="1" spans="1:26" ht="18" customHeight="1">
      <c r="A1" s="60" t="s">
        <v>0</v>
      </c>
      <c r="B1" s="60"/>
      <c r="D1"/>
      <c r="E1"/>
      <c r="Z1" s="28">
        <f>IF($B$3="","",IFERROR(INDEX(Loads!$B$3:$E$8,MATCH($B$3,Loads!$A$3:$A$8,0),1),""))</f>
        <v>4.0000000000000001E-3</v>
      </c>
    </row>
    <row r="2" spans="1:26" ht="18" customHeight="1">
      <c r="A2" s="29" t="s">
        <v>2</v>
      </c>
      <c r="B2" s="30" t="s">
        <v>3</v>
      </c>
      <c r="D2"/>
      <c r="E2"/>
      <c r="Z2" s="28">
        <f>IF($B$3="","",IFERROR(INDEX(Loads!$B$3:$E$8,MATCH($B$3,Loads!$A$3:$A$8,0),2),""))</f>
        <v>1.4500000000000001E-2</v>
      </c>
    </row>
    <row r="3" spans="1:26" ht="18" customHeight="1">
      <c r="A3" s="31" t="s">
        <v>7</v>
      </c>
      <c r="B3" s="32" t="s">
        <v>8</v>
      </c>
      <c r="D3"/>
      <c r="E3"/>
      <c r="Z3" s="28">
        <f>IF($B$3="","",IFERROR(INDEX(Loads!$B$3:$E$8,MATCH($B$3,Loads!$A$3:$A$8,0),3),""))</f>
        <v>0.02</v>
      </c>
    </row>
    <row r="4" spans="1:26" ht="18" customHeight="1">
      <c r="A4" s="31" t="s">
        <v>9</v>
      </c>
      <c r="B4" s="34">
        <v>0.25</v>
      </c>
      <c r="D4"/>
      <c r="E4"/>
      <c r="Z4" s="28">
        <f>IF($B$3="","",IFERROR(INDEX(Loads!$B$3:$E$8,MATCH($B$3,Loads!$A$3:$A$8,0),4),""))</f>
        <v>2.5000000000000001E-2</v>
      </c>
    </row>
    <row r="5" spans="1:26" ht="18" customHeight="1">
      <c r="A5" s="31" t="s">
        <v>10</v>
      </c>
      <c r="B5" s="34">
        <v>0.315</v>
      </c>
      <c r="D5"/>
      <c r="E5"/>
      <c r="Z5" s="28">
        <f>IF(OR($B$4="",$B$5="",$B$5&lt;=$B$4),"",($B$5-$B$4)/2)</f>
        <v>3.2500000000000001E-2</v>
      </c>
    </row>
    <row r="6" spans="1:26" ht="18" customHeight="1">
      <c r="A6" s="31" t="s">
        <v>11</v>
      </c>
      <c r="B6" s="35">
        <v>2</v>
      </c>
      <c r="Z6" s="28">
        <f>IF(OR($B$4="",$B$5=""),"",IF($B$5&lt;=$B$4,Z9,Z8))</f>
        <v>39.496835316263002</v>
      </c>
    </row>
    <row r="7" spans="1:26" ht="18" customHeight="1">
      <c r="A7" s="31" t="s">
        <v>12</v>
      </c>
      <c r="B7" s="36">
        <v>30</v>
      </c>
      <c r="Z7" s="28">
        <f>IF(OR(B29="",$B$25="",$B$6&lt;1,$B$26=""),"",B29*$B$26/($B$25*$B$6))</f>
        <v>5065.2148948134936</v>
      </c>
    </row>
    <row r="8" spans="1:26" ht="18" customHeight="1">
      <c r="A8" s="31" t="s">
        <v>13</v>
      </c>
      <c r="B8" s="34">
        <v>0.75</v>
      </c>
      <c r="Z8" s="28">
        <f>IF(OR(Z5="",$B$25="",$B$7&lt;5,$B$7&gt;45,$B$38&lt;=0),"",MIN(MIN($B$39,60*SQRT($B$38*Z5))/COS(RADIANS($B$7)),$B$40/SIN(RADIANS($B$7))))</f>
        <v>39.496835316263002</v>
      </c>
    </row>
    <row r="9" spans="1:26" ht="18" customHeight="1">
      <c r="A9" s="31" t="s">
        <v>59</v>
      </c>
      <c r="B9" s="37"/>
      <c r="Z9" s="28">
        <f>IF(OR($B$25="",$B$6&lt;1),"",MIN($B$42,$B$25*$B$6*$B$41))</f>
        <v>400</v>
      </c>
    </row>
    <row r="11" spans="1:26" ht="18" customHeight="1">
      <c r="A11" s="60" t="s">
        <v>53</v>
      </c>
      <c r="B11" s="60"/>
    </row>
    <row r="12" spans="1:26" ht="18" customHeight="1">
      <c r="A12" s="29" t="s">
        <v>2</v>
      </c>
      <c r="B12" s="30" t="s">
        <v>3</v>
      </c>
    </row>
    <row r="13" spans="1:26" ht="32.1" customHeight="1">
      <c r="A13" s="31" t="s">
        <v>14</v>
      </c>
      <c r="B13" s="62" t="str">
        <f>IF(OR($B$4="",$B$5=""),"",IF($B$5&lt;=$B$4,"Tool is larger than the hole. Numbers below are a straight cut.",IF(OR($B$7&lt;5,$B$7&gt;45),"Use a ramp from 5 to 45 degrees.",IF($B$6&lt;1,"Enter the flute count.",IF($B$22="","Pick a material on the Loads sheet.","Ready")))))</f>
        <v>Ready</v>
      </c>
      <c r="C13" s="63"/>
      <c r="D13" s="63"/>
      <c r="E13" s="63"/>
    </row>
    <row r="14" spans="1:26" ht="18" customHeight="1">
      <c r="A14" s="31" t="s">
        <v>15</v>
      </c>
      <c r="B14" s="38">
        <f>IF(Z7="","",MIN($B$41,MAX(1000,ROUND(Z7/1000,0)*1000)))</f>
        <v>5000</v>
      </c>
    </row>
    <row r="15" spans="1:26" ht="18" customHeight="1">
      <c r="A15" s="31" t="s">
        <v>54</v>
      </c>
      <c r="B15" s="35">
        <f>IF(OR(Z6="",Z6&lt;=0),"",IF(Z6&lt;5,ROUND(Z6,1),FLOOR(Z6/5,1)*5))</f>
        <v>35</v>
      </c>
    </row>
    <row r="16" spans="1:26" ht="18" customHeight="1">
      <c r="A16" s="31" t="s">
        <v>33</v>
      </c>
      <c r="B16" s="37">
        <f>IF($B$25="","",$B$25)</f>
        <v>1.4500000000000001E-2</v>
      </c>
    </row>
    <row r="17" spans="1:5" ht="18" customHeight="1">
      <c r="A17" s="31" t="s">
        <v>12</v>
      </c>
      <c r="B17" s="36">
        <f>$B$7</f>
        <v>30</v>
      </c>
    </row>
    <row r="18" spans="1:5" ht="18" customHeight="1">
      <c r="A18" s="31" t="s">
        <v>16</v>
      </c>
      <c r="B18" s="58" t="s">
        <v>17</v>
      </c>
      <c r="C18" s="59"/>
      <c r="D18" s="59"/>
      <c r="E18" s="59"/>
    </row>
    <row r="20" spans="1:5" ht="18" hidden="1" customHeight="1">
      <c r="A20" s="60" t="s">
        <v>18</v>
      </c>
      <c r="B20" s="60"/>
    </row>
    <row r="21" spans="1:5" ht="18" hidden="1" customHeight="1">
      <c r="A21" s="29" t="s">
        <v>2</v>
      </c>
      <c r="B21" s="30" t="s">
        <v>3</v>
      </c>
    </row>
    <row r="22" spans="1:5" ht="18" hidden="1" customHeight="1">
      <c r="A22" s="31" t="s">
        <v>19</v>
      </c>
      <c r="B22" s="37">
        <f>IF(OR($B$4="",$B$4&lt;=0,Z1=""),"",IF($B$4&lt;=Loads!$B$2,Z1,IF($B$4&gt;=Loads!$E$2,Z4,IF($B$4&lt;=Loads!$C$2,Z1+(Z2-Z1)*($B$4-Loads!$B$2)/(Loads!$C$2-Loads!$B$2),IF($B$4&lt;=Loads!$D$2,Z2+(Z3-Z2)*($B$4-Loads!$C$2)/(Loads!$D$2-Loads!$C$2),Z3+(Z4-Z3)*($B$4-Loads!$D$2)/(Loads!$E$2-Loads!$D$2))))))</f>
        <v>1.4500000000000001E-2</v>
      </c>
    </row>
    <row r="23" spans="1:5" ht="18" hidden="1" customHeight="1">
      <c r="A23" s="31" t="s">
        <v>55</v>
      </c>
      <c r="B23" s="33">
        <f>IF(OR($B$4="",$B$5="",$B$5&lt;=0),"",$B$4/$B$5)</f>
        <v>0.79365079365079361</v>
      </c>
    </row>
    <row r="24" spans="1:5" ht="18" hidden="1" customHeight="1">
      <c r="A24" s="31" t="s">
        <v>20</v>
      </c>
      <c r="B24" s="33">
        <f>IF($B$23="","",IF($B$23&gt;=1,1,IF($B$23&gt;=$D$3,$E$3,IF($B$23&gt;=$D$4,$E$4,$E$5))))</f>
        <v>0</v>
      </c>
    </row>
    <row r="25" spans="1:5" ht="18" hidden="1" customHeight="1">
      <c r="A25" s="31" t="s">
        <v>21</v>
      </c>
      <c r="B25" s="37">
        <f>IF($B$9&lt;&gt;"",$B$9,IF($B$22="","",$B$22))</f>
        <v>1.4500000000000001E-2</v>
      </c>
    </row>
    <row r="26" spans="1:5" ht="18" hidden="1" customHeight="1">
      <c r="A26" s="31" t="s">
        <v>22</v>
      </c>
      <c r="B26" s="33">
        <f>IF(OR($B$4="",$B$5="",$B$5&lt;=0),"",IF($B$5&lt;=$B$4,1,$B$5/($B$5-$B$4)))</f>
        <v>4.8461538461538458</v>
      </c>
    </row>
    <row r="27" spans="1:5" ht="18" hidden="1" customHeight="1">
      <c r="A27" s="31" t="s">
        <v>23</v>
      </c>
      <c r="B27" s="34">
        <f>IF(Z5="","n/a",Z5)</f>
        <v>3.2500000000000001E-2</v>
      </c>
    </row>
    <row r="28" spans="1:5" ht="18" hidden="1" customHeight="1">
      <c r="A28" s="31" t="s">
        <v>24</v>
      </c>
      <c r="B28" s="37">
        <f>IF(OR($B$25="",$B$26=""),"",$B$25/$B$26)</f>
        <v>2.9920634920634925E-3</v>
      </c>
    </row>
    <row r="29" spans="1:5" ht="18" hidden="1" customHeight="1">
      <c r="A29" s="31" t="s">
        <v>25</v>
      </c>
      <c r="B29" s="36">
        <f>IF($B$15="","",IF($B$5&lt;=$B$4,$B$15,$B$15*COS(RADIANS($B$7))))</f>
        <v>30.310889132455355</v>
      </c>
    </row>
    <row r="30" spans="1:5" ht="18" hidden="1" customHeight="1">
      <c r="A30" s="31" t="s">
        <v>26</v>
      </c>
      <c r="B30" s="36">
        <f>IF($B$15="","",IF($B$5&lt;=$B$4,0,$B$15*SIN(RADIANS($B$7))))</f>
        <v>17.499999999999996</v>
      </c>
    </row>
    <row r="31" spans="1:5" ht="18" hidden="1" customHeight="1">
      <c r="A31" s="31" t="s">
        <v>27</v>
      </c>
      <c r="B31" s="37">
        <f>IF(OR($B$14="",$B$29="",$B$26=""),"",$B$29*$B$26/($B$14*$B$6))</f>
        <v>1.4689123194959132E-2</v>
      </c>
    </row>
    <row r="32" spans="1:5" ht="18" hidden="1" customHeight="1">
      <c r="A32" s="31" t="s">
        <v>28</v>
      </c>
      <c r="B32" s="35">
        <f>IF(OR($B$14="",$B$4=""),"",PI()*$B$4*$B$14/12)</f>
        <v>327.24923474893677</v>
      </c>
    </row>
    <row r="33" spans="1:5" ht="18" hidden="1" customHeight="1">
      <c r="A33" s="31" t="s">
        <v>29</v>
      </c>
      <c r="B33" s="34">
        <f>IF(Z5="","n/a",PI()*($B$5-$B$4)*TAN(RADIANS($B$7)))</f>
        <v>0.11789695867522415</v>
      </c>
    </row>
    <row r="34" spans="1:5" ht="18" hidden="1" customHeight="1">
      <c r="A34" s="31" t="s">
        <v>30</v>
      </c>
      <c r="B34" s="36">
        <f>IF(OR(B33="n/a",B33="",$B$8=""),"n/a",$B$8/B33)</f>
        <v>6.361487254866832</v>
      </c>
    </row>
    <row r="36" spans="1:5" ht="18" customHeight="1">
      <c r="A36" s="60" t="s">
        <v>56</v>
      </c>
      <c r="B36" s="60"/>
    </row>
    <row r="37" spans="1:5" ht="18" customHeight="1">
      <c r="A37" s="29" t="s">
        <v>2</v>
      </c>
      <c r="B37" s="30" t="s">
        <v>3</v>
      </c>
    </row>
    <row r="38" spans="1:5" ht="18" customHeight="1">
      <c r="A38" s="31" t="s">
        <v>57</v>
      </c>
      <c r="B38" s="36">
        <v>10</v>
      </c>
    </row>
    <row r="39" spans="1:5" ht="18" customHeight="1">
      <c r="A39" s="31" t="s">
        <v>4</v>
      </c>
      <c r="B39" s="35">
        <v>50</v>
      </c>
    </row>
    <row r="40" spans="1:5" ht="18" customHeight="1">
      <c r="A40" s="31" t="s">
        <v>5</v>
      </c>
      <c r="B40" s="35">
        <v>20</v>
      </c>
    </row>
    <row r="41" spans="1:5" ht="18" customHeight="1">
      <c r="A41" s="31" t="s">
        <v>6</v>
      </c>
      <c r="B41" s="38">
        <v>18000</v>
      </c>
    </row>
    <row r="42" spans="1:5" ht="18" customHeight="1">
      <c r="A42" s="31" t="s">
        <v>58</v>
      </c>
      <c r="B42" s="35">
        <v>400</v>
      </c>
    </row>
    <row r="44" spans="1:5" ht="18" customHeight="1">
      <c r="A44" s="60" t="s">
        <v>1</v>
      </c>
      <c r="B44" s="60"/>
      <c r="C44" s="60"/>
      <c r="D44" s="60"/>
      <c r="E44" s="60"/>
    </row>
    <row r="45" spans="1:5" ht="32.1" customHeight="1">
      <c r="A45" s="61" t="s">
        <v>60</v>
      </c>
      <c r="B45" s="61"/>
      <c r="C45" s="61"/>
      <c r="D45" s="61"/>
      <c r="E45" s="61"/>
    </row>
    <row r="46" spans="1:5" ht="32.1" customHeight="1">
      <c r="A46" s="59" t="s">
        <v>61</v>
      </c>
      <c r="B46" s="59"/>
      <c r="C46" s="59"/>
      <c r="D46" s="59"/>
      <c r="E46" s="59"/>
    </row>
    <row r="47" spans="1:5" ht="32.1" customHeight="1">
      <c r="A47" s="59" t="s">
        <v>62</v>
      </c>
      <c r="B47" s="59"/>
      <c r="C47" s="59"/>
      <c r="D47" s="59"/>
      <c r="E47" s="59"/>
    </row>
    <row r="48" spans="1:5" ht="32.1" customHeight="1">
      <c r="A48" s="59" t="s">
        <v>63</v>
      </c>
      <c r="B48" s="59"/>
      <c r="C48" s="59"/>
      <c r="D48" s="59"/>
      <c r="E48" s="59"/>
    </row>
    <row r="49" spans="1:1" ht="32.1" customHeight="1">
      <c r="A49" s="39"/>
    </row>
    <row r="50" spans="1:1" ht="32.1" customHeight="1">
      <c r="A50" s="39"/>
    </row>
  </sheetData>
  <mergeCells count="11">
    <mergeCell ref="A48:E48"/>
    <mergeCell ref="A1:B1"/>
    <mergeCell ref="A11:B11"/>
    <mergeCell ref="B13:E13"/>
    <mergeCell ref="A20:B20"/>
    <mergeCell ref="A36:B36"/>
    <mergeCell ref="B18:E18"/>
    <mergeCell ref="A44:E44"/>
    <mergeCell ref="A45:E45"/>
    <mergeCell ref="A46:E46"/>
    <mergeCell ref="A47:E47"/>
  </mergeCells>
  <dataValidations count="2">
    <dataValidation type="decimal" sqref="B7" xr:uid="{A2347639-1871-49DB-9117-5AD4730318A7}">
      <formula1>5</formula1>
      <formula2>45</formula2>
    </dataValidation>
    <dataValidation type="list" sqref="B3" xr:uid="{C7D623C2-1966-44A3-82C8-7787DCB63CD2}">
      <formula1>"Hardwood,Plywood,MDF,Foam,Acrylic,HDPE"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Loads</vt:lpstr>
      <vt:lpstr>Bore</vt:lpstr>
      <vt:lpstr>Bore!Print_Area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Freeman</dc:creator>
  <cp:lastModifiedBy>Conrad T Freeman</cp:lastModifiedBy>
  <dcterms:created xsi:type="dcterms:W3CDTF">2023-07-28T20:35:04Z</dcterms:created>
  <dcterms:modified xsi:type="dcterms:W3CDTF">2026-10-22T19:20:03Z</dcterms:modified>
</cp:coreProperties>
</file>